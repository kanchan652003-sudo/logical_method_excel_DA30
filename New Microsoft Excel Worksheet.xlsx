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Excel\Practice\Day 1\"/>
    </mc:Choice>
  </mc:AlternateContent>
  <xr:revisionPtr revIDLastSave="0" documentId="13_ncr:1_{56B19FDC-2AD6-4C3A-8A2F-ABDCAEF7E97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sic" sheetId="1" r:id="rId1"/>
    <sheet name="math baisc" sheetId="2" r:id="rId2"/>
    <sheet name="Math basic 2" sheetId="3" r:id="rId3"/>
    <sheet name="TExt metho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4" l="1"/>
  <c r="M36" i="4"/>
  <c r="M30" i="4"/>
  <c r="M28" i="4"/>
  <c r="M26" i="4"/>
  <c r="M24" i="4"/>
  <c r="M22" i="4"/>
  <c r="M19" i="4"/>
  <c r="L17" i="4"/>
  <c r="M17" i="4"/>
  <c r="M16" i="4"/>
  <c r="M13" i="4"/>
  <c r="J11" i="4"/>
  <c r="M6" i="4"/>
  <c r="M8" i="4"/>
  <c r="U8" i="3"/>
  <c r="V8" i="3" s="1"/>
  <c r="U9" i="3"/>
  <c r="V9" i="3" s="1"/>
  <c r="U10" i="3"/>
  <c r="V10" i="3" s="1"/>
  <c r="N7" i="3"/>
  <c r="N8" i="3"/>
  <c r="N9" i="3"/>
  <c r="N10" i="3"/>
  <c r="N11" i="3"/>
  <c r="N6" i="3"/>
  <c r="M7" i="3"/>
  <c r="O7" i="3" s="1"/>
  <c r="S7" i="3" s="1"/>
  <c r="M8" i="3"/>
  <c r="O8" i="3" s="1"/>
  <c r="S8" i="3" s="1"/>
  <c r="M9" i="3"/>
  <c r="O9" i="3" s="1"/>
  <c r="S9" i="3" s="1"/>
  <c r="M10" i="3"/>
  <c r="O10" i="3" s="1"/>
  <c r="S10" i="3" s="1"/>
  <c r="M11" i="3"/>
  <c r="O11" i="3" s="1"/>
  <c r="S11" i="3" s="1"/>
  <c r="M6" i="3"/>
  <c r="O6" i="3"/>
  <c r="S6" i="3" s="1"/>
  <c r="E14" i="3"/>
  <c r="E13" i="3"/>
  <c r="E12" i="3"/>
  <c r="F5" i="2"/>
  <c r="F4" i="2"/>
  <c r="E5" i="2"/>
  <c r="E4" i="2"/>
  <c r="D5" i="2"/>
  <c r="D4" i="2"/>
  <c r="S12" i="3" l="1"/>
  <c r="Q9" i="3"/>
  <c r="Q6" i="3"/>
  <c r="P10" i="3"/>
  <c r="Q8" i="3"/>
  <c r="Q7" i="3"/>
  <c r="Q11" i="3"/>
  <c r="P8" i="3"/>
  <c r="P7" i="3"/>
  <c r="Q10" i="3"/>
  <c r="P6" i="3"/>
  <c r="P11" i="3"/>
  <c r="P9" i="3"/>
</calcChain>
</file>

<file path=xl/sharedStrings.xml><?xml version="1.0" encoding="utf-8"?>
<sst xmlns="http://schemas.openxmlformats.org/spreadsheetml/2006/main" count="138" uniqueCount="118">
  <si>
    <t>A1-ARC</t>
  </si>
  <si>
    <t xml:space="preserve">A1-ARC </t>
  </si>
  <si>
    <t>Id</t>
  </si>
  <si>
    <t>Qty</t>
  </si>
  <si>
    <t>user1</t>
  </si>
  <si>
    <t>user2</t>
  </si>
  <si>
    <t>user3</t>
  </si>
  <si>
    <t>user4</t>
  </si>
  <si>
    <t>user5</t>
  </si>
  <si>
    <t>NAME</t>
  </si>
  <si>
    <t>Header</t>
  </si>
  <si>
    <t>Row</t>
  </si>
  <si>
    <t>Tips</t>
  </si>
  <si>
    <t>this is info that user1 have purchsed 5 qty</t>
  </si>
  <si>
    <t>this is info that user2 have purchsed 10 qty</t>
  </si>
  <si>
    <t>this is info that user3 have purchsed 15 qty</t>
  </si>
  <si>
    <t>this is info that user4 have purchsed 20 qty</t>
  </si>
  <si>
    <t>this is info that user5 have purchsed 50 qty</t>
  </si>
  <si>
    <t>a</t>
  </si>
  <si>
    <t>b</t>
  </si>
  <si>
    <t>n</t>
  </si>
  <si>
    <t>v</t>
  </si>
  <si>
    <t>m</t>
  </si>
  <si>
    <t>k</t>
  </si>
  <si>
    <t>w</t>
  </si>
  <si>
    <t>d</t>
  </si>
  <si>
    <t>f</t>
  </si>
  <si>
    <t>g</t>
  </si>
  <si>
    <t>h</t>
  </si>
  <si>
    <t>y</t>
  </si>
  <si>
    <t>r</t>
  </si>
  <si>
    <t>e</t>
  </si>
  <si>
    <t>add</t>
  </si>
  <si>
    <t>sub</t>
  </si>
  <si>
    <t>div</t>
  </si>
  <si>
    <t>mul</t>
  </si>
  <si>
    <t>seat_class</t>
  </si>
  <si>
    <t>ticket_no</t>
  </si>
  <si>
    <t>price</t>
  </si>
  <si>
    <t>from</t>
  </si>
  <si>
    <t>to</t>
  </si>
  <si>
    <t>time</t>
  </si>
  <si>
    <t>cmp</t>
  </si>
  <si>
    <t>customer_name</t>
  </si>
  <si>
    <t>seat_no</t>
  </si>
  <si>
    <t>baggage_weight</t>
  </si>
  <si>
    <t>cust1</t>
  </si>
  <si>
    <t>cust2</t>
  </si>
  <si>
    <t>ARC_cust</t>
  </si>
  <si>
    <t>Vigo_cust</t>
  </si>
  <si>
    <t>arc2</t>
  </si>
  <si>
    <t>DB_user1</t>
  </si>
  <si>
    <t>P</t>
  </si>
  <si>
    <t>L</t>
  </si>
  <si>
    <t>E</t>
  </si>
  <si>
    <t>T-101</t>
  </si>
  <si>
    <t>T-102</t>
  </si>
  <si>
    <t>T-103</t>
  </si>
  <si>
    <t>T-104</t>
  </si>
  <si>
    <t>T-105</t>
  </si>
  <si>
    <t>T-106</t>
  </si>
  <si>
    <t>NAGPUR</t>
  </si>
  <si>
    <t>DEHLI</t>
  </si>
  <si>
    <t>PUNE</t>
  </si>
  <si>
    <t>DUBAI</t>
  </si>
  <si>
    <t>HYDERABAD</t>
  </si>
  <si>
    <t>MUMBAI</t>
  </si>
  <si>
    <t>MUMABI</t>
  </si>
  <si>
    <t>Indigo</t>
  </si>
  <si>
    <t>Air India</t>
  </si>
  <si>
    <t>Qatar Airlines</t>
  </si>
  <si>
    <t>TAX</t>
  </si>
  <si>
    <t>.</t>
  </si>
  <si>
    <t>Total_price</t>
  </si>
  <si>
    <t>max</t>
  </si>
  <si>
    <t>min</t>
  </si>
  <si>
    <t>avg</t>
  </si>
  <si>
    <t>Rank</t>
  </si>
  <si>
    <t>Rank eq</t>
  </si>
  <si>
    <t>Gst</t>
  </si>
  <si>
    <t>Tax</t>
  </si>
  <si>
    <t>GST</t>
  </si>
  <si>
    <t>Quatity</t>
  </si>
  <si>
    <t>Final price</t>
  </si>
  <si>
    <t>Method</t>
  </si>
  <si>
    <t>Value</t>
  </si>
  <si>
    <t>Output</t>
  </si>
  <si>
    <t xml:space="preserve">CHAR </t>
  </si>
  <si>
    <t>Join/Concat</t>
  </si>
  <si>
    <t>ARC</t>
  </si>
  <si>
    <t>Kanchan</t>
  </si>
  <si>
    <t>Clean</t>
  </si>
  <si>
    <t>Exact</t>
  </si>
  <si>
    <t>Kanchan - ARC</t>
  </si>
  <si>
    <t>Find</t>
  </si>
  <si>
    <t>LEFT</t>
  </si>
  <si>
    <t>Search</t>
  </si>
  <si>
    <t>Right</t>
  </si>
  <si>
    <t>MID</t>
  </si>
  <si>
    <t>UPPER</t>
  </si>
  <si>
    <t>LOWER</t>
  </si>
  <si>
    <t>LEN</t>
  </si>
  <si>
    <t>PROPER</t>
  </si>
  <si>
    <t>Replace</t>
  </si>
  <si>
    <t>formula</t>
  </si>
  <si>
    <t>Data Type</t>
  </si>
  <si>
    <t>Text</t>
  </si>
  <si>
    <t>value</t>
  </si>
  <si>
    <t>Da30</t>
  </si>
  <si>
    <t>Number</t>
  </si>
  <si>
    <t>Currency</t>
  </si>
  <si>
    <t>$125.60</t>
  </si>
  <si>
    <t>Accounting</t>
  </si>
  <si>
    <t>Short Date</t>
  </si>
  <si>
    <t>Long Date</t>
  </si>
  <si>
    <t>Time</t>
  </si>
  <si>
    <t>Percent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</si>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</sst>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0.0000"/>
    <numFmt numFmtId="166" formatCode="0.000"/>
    <numFmt numFmtId="167" formatCode="&quot;₹&quot;\ #,##0.00"/>
    <numFmt numFmtId="169" formatCode="[$-F800]dddd\,\ mmmm\ dd\,\ yyyy"/>
    <numFmt numFmtId="170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0" fontId="0" fillId="3" borderId="1" xfId="0" applyFill="1" applyBorder="1"/>
    <xf numFmtId="0" fontId="0" fillId="4" borderId="1" xfId="0" applyFill="1" applyBorder="1"/>
    <xf numFmtId="49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5" borderId="1" xfId="0" applyFill="1" applyBorder="1"/>
    <xf numFmtId="0" fontId="0" fillId="6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20" fontId="0" fillId="5" borderId="1" xfId="0" applyNumberFormat="1" applyFill="1" applyBorder="1" applyAlignment="1">
      <alignment horizontal="left"/>
    </xf>
    <xf numFmtId="9" fontId="0" fillId="0" borderId="0" xfId="0" applyNumberFormat="1"/>
    <xf numFmtId="0" fontId="0" fillId="6" borderId="2" xfId="0" applyFill="1" applyBorder="1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44" fontId="0" fillId="0" borderId="0" xfId="0" applyNumberFormat="1"/>
    <xf numFmtId="14" fontId="0" fillId="0" borderId="0" xfId="0" applyNumberFormat="1"/>
    <xf numFmtId="169" fontId="0" fillId="0" borderId="0" xfId="0" applyNumberFormat="1"/>
    <xf numFmtId="170" fontId="0" fillId="0" borderId="0" xfId="0" applyNumberFormat="1"/>
    <xf numFmtId="10" fontId="0" fillId="0" borderId="0" xfId="0" applyNumberFormat="1"/>
    <xf numFmtId="1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21"/>
  <sheetViews>
    <sheetView zoomScale="51" zoomScaleNormal="99" workbookViewId="0">
      <selection activeCell="I11" sqref="I11"/>
    </sheetView>
  </sheetViews>
  <sheetFormatPr defaultRowHeight="14.4" x14ac:dyDescent="0.3"/>
  <cols>
    <col min="10" max="10" width="14.44140625" customWidth="1"/>
    <col min="14" max="14" width="20.77734375" customWidth="1"/>
  </cols>
  <sheetData>
    <row r="4" spans="1:17" x14ac:dyDescent="0.3">
      <c r="D4" t="s">
        <v>0</v>
      </c>
      <c r="F4" t="s">
        <v>1</v>
      </c>
    </row>
    <row r="5" spans="1:17" ht="12.6" customHeight="1" x14ac:dyDescent="0.3">
      <c r="A5" s="11"/>
      <c r="B5" s="11"/>
      <c r="C5" s="11"/>
      <c r="D5" s="11"/>
      <c r="E5" s="11"/>
    </row>
    <row r="6" spans="1:17" ht="12.6" customHeight="1" x14ac:dyDescent="0.3">
      <c r="A6" s="11"/>
      <c r="B6" s="11"/>
      <c r="C6" s="11"/>
      <c r="D6" s="11"/>
      <c r="E6" s="11"/>
    </row>
    <row r="7" spans="1:17" x14ac:dyDescent="0.3">
      <c r="A7" s="11"/>
      <c r="B7" s="11"/>
      <c r="C7" s="11"/>
      <c r="D7" s="11"/>
      <c r="E7" s="11"/>
    </row>
    <row r="8" spans="1:17" ht="15.6" customHeight="1" x14ac:dyDescent="0.3">
      <c r="G8" t="s">
        <v>18</v>
      </c>
      <c r="H8" t="s">
        <v>19</v>
      </c>
      <c r="I8" t="s">
        <v>21</v>
      </c>
      <c r="J8" t="s">
        <v>19</v>
      </c>
    </row>
    <row r="9" spans="1:17" x14ac:dyDescent="0.3">
      <c r="G9" t="s">
        <v>24</v>
      </c>
      <c r="H9" t="s">
        <v>29</v>
      </c>
      <c r="I9" t="s">
        <v>30</v>
      </c>
      <c r="J9" t="s">
        <v>20</v>
      </c>
    </row>
    <row r="10" spans="1:17" x14ac:dyDescent="0.3">
      <c r="G10" t="s">
        <v>25</v>
      </c>
      <c r="H10" t="s">
        <v>28</v>
      </c>
      <c r="I10" t="s">
        <v>27</v>
      </c>
      <c r="J10" t="s">
        <v>22</v>
      </c>
    </row>
    <row r="11" spans="1:17" x14ac:dyDescent="0.3">
      <c r="G11" t="s">
        <v>26</v>
      </c>
      <c r="H11" t="s">
        <v>27</v>
      </c>
      <c r="I11" t="s">
        <v>31</v>
      </c>
      <c r="J11" t="s">
        <v>23</v>
      </c>
    </row>
    <row r="12" spans="1:17" ht="28.8" customHeight="1" x14ac:dyDescent="0.3">
      <c r="K12" s="4" t="s">
        <v>2</v>
      </c>
      <c r="L12" s="5" t="s">
        <v>9</v>
      </c>
      <c r="M12" s="5" t="s">
        <v>3</v>
      </c>
      <c r="N12" s="6" t="s">
        <v>12</v>
      </c>
    </row>
    <row r="13" spans="1:17" ht="87.6" customHeight="1" x14ac:dyDescent="0.3">
      <c r="K13" s="7">
        <v>1</v>
      </c>
      <c r="L13" s="8" t="s">
        <v>4</v>
      </c>
      <c r="M13" s="9">
        <v>5</v>
      </c>
      <c r="N13" s="10" t="s">
        <v>13</v>
      </c>
    </row>
    <row r="14" spans="1:17" ht="87.6" customHeight="1" x14ac:dyDescent="0.3">
      <c r="H14" s="1"/>
      <c r="K14" s="7"/>
      <c r="L14" s="8"/>
      <c r="M14" s="9"/>
      <c r="N14" s="10"/>
    </row>
    <row r="15" spans="1:17" ht="84" x14ac:dyDescent="0.3">
      <c r="K15" s="9">
        <v>2</v>
      </c>
      <c r="L15" s="8" t="s">
        <v>5</v>
      </c>
      <c r="M15" s="9">
        <v>10</v>
      </c>
      <c r="N15" s="10" t="s">
        <v>14</v>
      </c>
      <c r="P15" s="3"/>
      <c r="Q15" t="s">
        <v>10</v>
      </c>
    </row>
    <row r="16" spans="1:17" ht="84" x14ac:dyDescent="0.3">
      <c r="E16" t="s">
        <v>18</v>
      </c>
      <c r="K16" s="9">
        <v>3</v>
      </c>
      <c r="L16" s="8" t="s">
        <v>6</v>
      </c>
      <c r="M16" s="9">
        <v>15</v>
      </c>
      <c r="N16" s="10" t="s">
        <v>15</v>
      </c>
    </row>
    <row r="17" spans="6:18" ht="84" x14ac:dyDescent="0.3">
      <c r="K17" s="9">
        <v>4</v>
      </c>
      <c r="L17" s="8" t="s">
        <v>7</v>
      </c>
      <c r="M17" s="9">
        <v>20</v>
      </c>
      <c r="N17" s="10" t="s">
        <v>16</v>
      </c>
    </row>
    <row r="18" spans="6:18" ht="33" customHeight="1" x14ac:dyDescent="0.3">
      <c r="K18" s="9">
        <v>5</v>
      </c>
      <c r="L18" s="8" t="s">
        <v>8</v>
      </c>
      <c r="M18" s="9">
        <v>50</v>
      </c>
      <c r="N18" s="10" t="s">
        <v>17</v>
      </c>
      <c r="Q18" s="2"/>
      <c r="R18" t="s">
        <v>11</v>
      </c>
    </row>
    <row r="21" spans="6:18" x14ac:dyDescent="0.3">
      <c r="F21" t="s">
        <v>19</v>
      </c>
      <c r="G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AA06-ECEE-4EED-8EBD-46A5AF57758C}">
  <dimension ref="B3:G5"/>
  <sheetViews>
    <sheetView workbookViewId="0">
      <selection activeCell="E14" sqref="E14"/>
    </sheetView>
  </sheetViews>
  <sheetFormatPr defaultRowHeight="14.4" x14ac:dyDescent="0.3"/>
  <sheetData>
    <row r="3" spans="2:7" x14ac:dyDescent="0.3">
      <c r="B3" t="s">
        <v>18</v>
      </c>
      <c r="C3" t="s">
        <v>19</v>
      </c>
      <c r="D3" t="s">
        <v>32</v>
      </c>
      <c r="E3" t="s">
        <v>33</v>
      </c>
      <c r="F3" t="s">
        <v>34</v>
      </c>
      <c r="G3" t="s">
        <v>35</v>
      </c>
    </row>
    <row r="4" spans="2:7" x14ac:dyDescent="0.3">
      <c r="B4">
        <v>2</v>
      </c>
      <c r="C4">
        <v>5</v>
      </c>
      <c r="D4">
        <f>SUM(B4+C4)</f>
        <v>7</v>
      </c>
      <c r="E4">
        <f>C4-B4</f>
        <v>3</v>
      </c>
      <c r="F4">
        <f>B4/C4</f>
        <v>0.4</v>
      </c>
      <c r="G4">
        <v>10</v>
      </c>
    </row>
    <row r="5" spans="2:7" x14ac:dyDescent="0.3">
      <c r="B5">
        <v>3</v>
      </c>
      <c r="C5">
        <v>8</v>
      </c>
      <c r="D5">
        <f>SUM(B5+C5)</f>
        <v>11</v>
      </c>
      <c r="E5">
        <f>C5-B5</f>
        <v>5</v>
      </c>
      <c r="F5">
        <f>B5/C5</f>
        <v>0.375</v>
      </c>
      <c r="G5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9A2-6682-4A2D-83F0-AF5736DE4877}">
  <dimension ref="C1:V15"/>
  <sheetViews>
    <sheetView topLeftCell="E1" workbookViewId="0">
      <selection activeCell="O16" sqref="O16"/>
    </sheetView>
  </sheetViews>
  <sheetFormatPr defaultRowHeight="14.4" x14ac:dyDescent="0.3"/>
  <cols>
    <col min="4" max="4" width="19.44140625" customWidth="1"/>
    <col min="5" max="5" width="18.33203125" customWidth="1"/>
    <col min="6" max="6" width="13.44140625" customWidth="1"/>
    <col min="9" max="9" width="12.88671875" customWidth="1"/>
    <col min="10" max="10" width="13.6640625" customWidth="1"/>
    <col min="12" max="12" width="12.77734375" customWidth="1"/>
    <col min="15" max="15" width="11.109375" customWidth="1"/>
  </cols>
  <sheetData>
    <row r="1" spans="3:22" x14ac:dyDescent="0.3">
      <c r="L1" t="s">
        <v>80</v>
      </c>
      <c r="N1" s="15" t="s">
        <v>79</v>
      </c>
    </row>
    <row r="2" spans="3:22" x14ac:dyDescent="0.3">
      <c r="L2" s="15">
        <v>0.2</v>
      </c>
      <c r="M2" s="15"/>
      <c r="N2" s="15">
        <v>0.05</v>
      </c>
    </row>
    <row r="5" spans="3:22" x14ac:dyDescent="0.3">
      <c r="C5" s="12" t="s">
        <v>44</v>
      </c>
      <c r="D5" s="12" t="s">
        <v>43</v>
      </c>
      <c r="E5" s="12" t="s">
        <v>45</v>
      </c>
      <c r="F5" s="12" t="s">
        <v>36</v>
      </c>
      <c r="G5" s="12" t="s">
        <v>37</v>
      </c>
      <c r="H5" s="12" t="s">
        <v>38</v>
      </c>
      <c r="I5" s="12" t="s">
        <v>39</v>
      </c>
      <c r="J5" s="12" t="s">
        <v>40</v>
      </c>
      <c r="K5" s="12" t="s">
        <v>41</v>
      </c>
      <c r="L5" s="12" t="s">
        <v>42</v>
      </c>
      <c r="M5" s="12" t="s">
        <v>71</v>
      </c>
      <c r="N5" s="12" t="s">
        <v>81</v>
      </c>
      <c r="O5" s="12" t="s">
        <v>73</v>
      </c>
      <c r="P5" s="12" t="s">
        <v>77</v>
      </c>
      <c r="Q5" s="16" t="s">
        <v>78</v>
      </c>
      <c r="R5" s="16" t="s">
        <v>82</v>
      </c>
      <c r="S5" s="16" t="s">
        <v>83</v>
      </c>
    </row>
    <row r="6" spans="3:22" x14ac:dyDescent="0.3">
      <c r="C6" s="13">
        <v>101</v>
      </c>
      <c r="D6" s="13" t="s">
        <v>46</v>
      </c>
      <c r="E6" s="13">
        <v>20</v>
      </c>
      <c r="F6" s="13" t="s">
        <v>52</v>
      </c>
      <c r="G6" s="13" t="s">
        <v>55</v>
      </c>
      <c r="H6" s="13">
        <v>60</v>
      </c>
      <c r="I6" s="13" t="s">
        <v>61</v>
      </c>
      <c r="J6" s="13" t="s">
        <v>62</v>
      </c>
      <c r="K6" s="14">
        <v>0.83333333333333337</v>
      </c>
      <c r="L6" s="13" t="s">
        <v>68</v>
      </c>
      <c r="M6" s="11">
        <f>$H6*L$2</f>
        <v>12</v>
      </c>
      <c r="N6" s="11">
        <f>$H6*N$2</f>
        <v>3</v>
      </c>
      <c r="O6" s="11">
        <f>M6+H6</f>
        <v>72</v>
      </c>
      <c r="P6" s="11">
        <f>_xlfn.RANK.AVG(O6,$O$6:$O$11,0)</f>
        <v>3.5</v>
      </c>
      <c r="Q6">
        <f>_xlfn.RANK.EQ(O6,$O$6:$O$11,0)</f>
        <v>3</v>
      </c>
      <c r="R6">
        <v>2</v>
      </c>
      <c r="S6">
        <f>O6*R6</f>
        <v>144</v>
      </c>
    </row>
    <row r="7" spans="3:22" x14ac:dyDescent="0.3">
      <c r="C7" s="13">
        <v>102</v>
      </c>
      <c r="D7" s="13" t="s">
        <v>47</v>
      </c>
      <c r="E7" s="13">
        <v>30</v>
      </c>
      <c r="F7" s="13" t="s">
        <v>53</v>
      </c>
      <c r="G7" s="13" t="s">
        <v>56</v>
      </c>
      <c r="H7" s="13">
        <v>50</v>
      </c>
      <c r="I7" s="13" t="s">
        <v>63</v>
      </c>
      <c r="J7" s="13" t="s">
        <v>66</v>
      </c>
      <c r="K7" s="14">
        <v>0.64583333333333337</v>
      </c>
      <c r="L7" s="13" t="s">
        <v>69</v>
      </c>
      <c r="M7" s="11">
        <f t="shared" ref="M7" si="0">$H7*L$2</f>
        <v>10</v>
      </c>
      <c r="N7" s="11">
        <f t="shared" ref="N7:N11" si="1">$H7*N$2</f>
        <v>2.5</v>
      </c>
      <c r="O7" s="11">
        <f t="shared" ref="O7:O10" si="2">M7+H7</f>
        <v>60</v>
      </c>
      <c r="P7" s="11">
        <f t="shared" ref="P7:P11" si="3">_xlfn.RANK.AVG(O7,$O$6:$O$11,0)</f>
        <v>5</v>
      </c>
      <c r="Q7">
        <f t="shared" ref="Q7:Q11" si="4">_xlfn.RANK.EQ(O7,$O$6:$O$11,0)</f>
        <v>5</v>
      </c>
      <c r="R7">
        <v>4</v>
      </c>
      <c r="S7">
        <f t="shared" ref="S7:S11" si="5">O7*R7</f>
        <v>240</v>
      </c>
    </row>
    <row r="8" spans="3:22" x14ac:dyDescent="0.3">
      <c r="C8" s="13">
        <v>103</v>
      </c>
      <c r="D8" s="13" t="s">
        <v>48</v>
      </c>
      <c r="E8" s="13">
        <v>40</v>
      </c>
      <c r="F8" s="13" t="s">
        <v>54</v>
      </c>
      <c r="G8" s="13" t="s">
        <v>57</v>
      </c>
      <c r="H8" s="13">
        <v>100</v>
      </c>
      <c r="I8" s="13" t="s">
        <v>61</v>
      </c>
      <c r="J8" s="13" t="s">
        <v>64</v>
      </c>
      <c r="K8" s="14">
        <v>0.34027777777777779</v>
      </c>
      <c r="L8" s="13" t="s">
        <v>70</v>
      </c>
      <c r="M8" s="11">
        <f t="shared" ref="M8" si="6">$H8*L$2</f>
        <v>20</v>
      </c>
      <c r="N8" s="11">
        <f t="shared" si="1"/>
        <v>5</v>
      </c>
      <c r="O8" s="11">
        <f t="shared" si="2"/>
        <v>120</v>
      </c>
      <c r="P8" s="11">
        <f t="shared" si="3"/>
        <v>2</v>
      </c>
      <c r="Q8">
        <f t="shared" si="4"/>
        <v>2</v>
      </c>
      <c r="R8">
        <v>5</v>
      </c>
      <c r="S8">
        <f t="shared" si="5"/>
        <v>600</v>
      </c>
      <c r="U8">
        <f ca="1">RAND()</f>
        <v>5.7620153907473437E-2</v>
      </c>
      <c r="V8">
        <f ca="1">U8*10</f>
        <v>0.57620153907473437</v>
      </c>
    </row>
    <row r="9" spans="3:22" x14ac:dyDescent="0.3">
      <c r="C9" s="13">
        <v>104</v>
      </c>
      <c r="D9" s="13" t="s">
        <v>49</v>
      </c>
      <c r="E9" s="13">
        <v>50</v>
      </c>
      <c r="F9" s="13" t="s">
        <v>53</v>
      </c>
      <c r="G9" s="13" t="s">
        <v>58</v>
      </c>
      <c r="H9" s="13">
        <v>120</v>
      </c>
      <c r="I9" s="13" t="s">
        <v>64</v>
      </c>
      <c r="J9" s="13" t="s">
        <v>67</v>
      </c>
      <c r="K9" s="14">
        <v>2.361111111111111E-2</v>
      </c>
      <c r="L9" s="13" t="s">
        <v>70</v>
      </c>
      <c r="M9" s="11">
        <f t="shared" ref="M9" si="7">$H9*L$2</f>
        <v>24</v>
      </c>
      <c r="N9" s="11">
        <f t="shared" si="1"/>
        <v>6</v>
      </c>
      <c r="O9" s="11">
        <f t="shared" si="2"/>
        <v>144</v>
      </c>
      <c r="P9" s="11">
        <f t="shared" si="3"/>
        <v>1</v>
      </c>
      <c r="Q9">
        <f t="shared" si="4"/>
        <v>1</v>
      </c>
      <c r="R9">
        <v>1</v>
      </c>
      <c r="S9">
        <f t="shared" si="5"/>
        <v>144</v>
      </c>
      <c r="U9">
        <f t="shared" ref="U9:U10" ca="1" si="8">RAND()</f>
        <v>0.77374027077782526</v>
      </c>
      <c r="V9" s="17">
        <f ca="1">U9*100</f>
        <v>77.374027077782529</v>
      </c>
    </row>
    <row r="10" spans="3:22" x14ac:dyDescent="0.3">
      <c r="C10" s="13">
        <v>105</v>
      </c>
      <c r="D10" s="13" t="s">
        <v>50</v>
      </c>
      <c r="E10" s="13">
        <v>10</v>
      </c>
      <c r="F10" s="13" t="s">
        <v>54</v>
      </c>
      <c r="G10" s="13" t="s">
        <v>59</v>
      </c>
      <c r="H10" s="13">
        <v>30</v>
      </c>
      <c r="I10" s="13" t="s">
        <v>61</v>
      </c>
      <c r="J10" s="13" t="s">
        <v>65</v>
      </c>
      <c r="K10" s="14">
        <v>0.99652777777777779</v>
      </c>
      <c r="L10" s="13" t="s">
        <v>68</v>
      </c>
      <c r="M10" s="11">
        <f t="shared" ref="M10" si="9">$H10*L$2</f>
        <v>6</v>
      </c>
      <c r="N10" s="11">
        <f t="shared" si="1"/>
        <v>1.5</v>
      </c>
      <c r="O10" s="11">
        <f t="shared" si="2"/>
        <v>36</v>
      </c>
      <c r="P10" s="11">
        <f t="shared" si="3"/>
        <v>6</v>
      </c>
      <c r="Q10">
        <f t="shared" si="4"/>
        <v>6</v>
      </c>
      <c r="R10">
        <v>2</v>
      </c>
      <c r="S10">
        <f t="shared" si="5"/>
        <v>72</v>
      </c>
      <c r="U10">
        <f t="shared" ca="1" si="8"/>
        <v>8.5673041864550492E-2</v>
      </c>
      <c r="V10" s="18">
        <f ca="1">U10*100</f>
        <v>8.5673041864550488</v>
      </c>
    </row>
    <row r="11" spans="3:22" x14ac:dyDescent="0.3">
      <c r="C11" s="13">
        <v>106</v>
      </c>
      <c r="D11" s="13" t="s">
        <v>51</v>
      </c>
      <c r="E11" s="13">
        <v>30</v>
      </c>
      <c r="F11" s="13" t="s">
        <v>52</v>
      </c>
      <c r="G11" s="13" t="s">
        <v>60</v>
      </c>
      <c r="H11" s="13">
        <v>60</v>
      </c>
      <c r="I11" s="13" t="s">
        <v>65</v>
      </c>
      <c r="J11" s="13" t="s">
        <v>66</v>
      </c>
      <c r="K11" s="14">
        <v>0.53472222222222221</v>
      </c>
      <c r="L11" s="13" t="s">
        <v>69</v>
      </c>
      <c r="M11" s="11">
        <f t="shared" ref="M11" si="10">$H11*L$2</f>
        <v>12</v>
      </c>
      <c r="N11" s="11">
        <f t="shared" si="1"/>
        <v>3</v>
      </c>
      <c r="O11" s="11">
        <f>M11+H11</f>
        <v>72</v>
      </c>
      <c r="P11" s="11">
        <f t="shared" si="3"/>
        <v>3.5</v>
      </c>
      <c r="Q11">
        <f t="shared" si="4"/>
        <v>3</v>
      </c>
      <c r="R11">
        <v>9</v>
      </c>
      <c r="S11">
        <f t="shared" si="5"/>
        <v>648</v>
      </c>
    </row>
    <row r="12" spans="3:22" x14ac:dyDescent="0.3">
      <c r="C12" t="s">
        <v>75</v>
      </c>
      <c r="E12">
        <f>MIN(E6:E11)</f>
        <v>10</v>
      </c>
      <c r="H12" t="s">
        <v>72</v>
      </c>
      <c r="S12">
        <f>SUM(S6:S11)</f>
        <v>1848</v>
      </c>
    </row>
    <row r="13" spans="3:22" x14ac:dyDescent="0.3">
      <c r="C13" t="s">
        <v>74</v>
      </c>
      <c r="E13">
        <f>MAX(E6:E11)</f>
        <v>50</v>
      </c>
      <c r="U13">
        <v>0.91214873770072002</v>
      </c>
      <c r="V13">
        <v>9.1214873770071954</v>
      </c>
    </row>
    <row r="14" spans="3:22" x14ac:dyDescent="0.3">
      <c r="C14" t="s">
        <v>76</v>
      </c>
      <c r="E14">
        <f>AVERAGE(E6:E11)</f>
        <v>30</v>
      </c>
      <c r="U14">
        <v>0.49644907902507407</v>
      </c>
      <c r="V14">
        <v>49.644907902507406</v>
      </c>
    </row>
    <row r="15" spans="3:22" x14ac:dyDescent="0.3">
      <c r="U15">
        <v>0.11646108305693581</v>
      </c>
      <c r="V15">
        <v>11.646108305693581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7BE9-4829-4C27-8370-B020C40903A9}">
  <dimension ref="G5:S40"/>
  <sheetViews>
    <sheetView tabSelected="1" topLeftCell="I14" workbookViewId="0">
      <selection activeCell="V21" sqref="V21"/>
    </sheetView>
  </sheetViews>
  <sheetFormatPr defaultRowHeight="14.4" x14ac:dyDescent="0.3"/>
  <cols>
    <col min="7" max="7" width="11.88671875" customWidth="1"/>
    <col min="10" max="10" width="14.77734375" customWidth="1"/>
    <col min="13" max="13" width="20.33203125" style="19" customWidth="1"/>
    <col min="16" max="16" width="13.21875" customWidth="1"/>
    <col min="19" max="19" width="14.88671875" customWidth="1"/>
    <col min="20" max="20" width="9.109375" customWidth="1"/>
  </cols>
  <sheetData>
    <row r="5" spans="7:19" x14ac:dyDescent="0.3">
      <c r="G5" t="s">
        <v>84</v>
      </c>
      <c r="J5" t="s">
        <v>85</v>
      </c>
      <c r="K5" t="s">
        <v>104</v>
      </c>
      <c r="M5" s="19" t="s">
        <v>86</v>
      </c>
      <c r="P5" t="s">
        <v>105</v>
      </c>
      <c r="S5" t="s">
        <v>107</v>
      </c>
    </row>
    <row r="6" spans="7:19" x14ac:dyDescent="0.3">
      <c r="G6" t="s">
        <v>87</v>
      </c>
      <c r="J6">
        <v>5</v>
      </c>
      <c r="M6" s="19" t="str">
        <f>_xlfn.CONCAT(J$9," - ",J$8)</f>
        <v>Kanchan - ARC</v>
      </c>
    </row>
    <row r="7" spans="7:19" x14ac:dyDescent="0.3">
      <c r="P7" t="s">
        <v>106</v>
      </c>
      <c r="S7" t="s">
        <v>108</v>
      </c>
    </row>
    <row r="8" spans="7:19" x14ac:dyDescent="0.3">
      <c r="G8" t="s">
        <v>88</v>
      </c>
      <c r="J8" t="s">
        <v>89</v>
      </c>
      <c r="M8" s="19" t="str">
        <f>_xlfn.CONCAT(J$9," - ",J$8)</f>
        <v>Kanchan - ARC</v>
      </c>
    </row>
    <row r="9" spans="7:19" x14ac:dyDescent="0.3">
      <c r="J9" t="s">
        <v>90</v>
      </c>
      <c r="P9" t="s">
        <v>109</v>
      </c>
      <c r="S9" s="22">
        <v>123</v>
      </c>
    </row>
    <row r="11" spans="7:19" x14ac:dyDescent="0.3">
      <c r="G11" t="s">
        <v>91</v>
      </c>
      <c r="J11" t="str">
        <f>_xlfn.CONCAT(G$9," - ",G$8)</f>
        <v xml:space="preserve"> - Join/Concat</v>
      </c>
      <c r="P11" t="s">
        <v>109</v>
      </c>
      <c r="S11" s="21">
        <v>12.5</v>
      </c>
    </row>
    <row r="13" spans="7:19" x14ac:dyDescent="0.3">
      <c r="G13" t="s">
        <v>92</v>
      </c>
      <c r="M13" s="19" t="b">
        <f>EXACT(M6,M8)</f>
        <v>1</v>
      </c>
      <c r="P13" t="s">
        <v>110</v>
      </c>
      <c r="S13" s="23" t="s">
        <v>111</v>
      </c>
    </row>
    <row r="15" spans="7:19" x14ac:dyDescent="0.3">
      <c r="P15" t="s">
        <v>112</v>
      </c>
      <c r="S15" s="24">
        <v>75.599999999999994</v>
      </c>
    </row>
    <row r="16" spans="7:19" x14ac:dyDescent="0.3">
      <c r="G16" t="s">
        <v>94</v>
      </c>
      <c r="J16" t="s">
        <v>93</v>
      </c>
      <c r="M16" s="19">
        <f>FIND("A",J16)</f>
        <v>11</v>
      </c>
    </row>
    <row r="17" spans="7:19" x14ac:dyDescent="0.3">
      <c r="L17">
        <f>FIND("a",J16,4)</f>
        <v>6</v>
      </c>
      <c r="M17" s="19">
        <f>FIND("a",J16,4)</f>
        <v>6</v>
      </c>
      <c r="P17" t="s">
        <v>113</v>
      </c>
      <c r="S17" s="25">
        <v>46090</v>
      </c>
    </row>
    <row r="18" spans="7:19" x14ac:dyDescent="0.3">
      <c r="S18" s="25"/>
    </row>
    <row r="19" spans="7:19" x14ac:dyDescent="0.3">
      <c r="G19" t="s">
        <v>95</v>
      </c>
      <c r="M19" t="str">
        <f>LEFT("Kanchan - ARC", 5)</f>
        <v>Kanch</v>
      </c>
      <c r="P19" t="s">
        <v>114</v>
      </c>
      <c r="S19" s="26">
        <v>46090</v>
      </c>
    </row>
    <row r="21" spans="7:19" x14ac:dyDescent="0.3">
      <c r="P21" t="s">
        <v>115</v>
      </c>
      <c r="S21" s="27">
        <v>46090</v>
      </c>
    </row>
    <row r="22" spans="7:19" x14ac:dyDescent="0.3">
      <c r="G22" t="s">
        <v>96</v>
      </c>
      <c r="M22">
        <f>SEARCH("K", "Kanchan - ARC")</f>
        <v>1</v>
      </c>
    </row>
    <row r="23" spans="7:19" x14ac:dyDescent="0.3">
      <c r="P23" t="s">
        <v>116</v>
      </c>
      <c r="S23" s="28">
        <v>2</v>
      </c>
    </row>
    <row r="24" spans="7:19" x14ac:dyDescent="0.3">
      <c r="G24" t="s">
        <v>97</v>
      </c>
      <c r="M24" t="str">
        <f>RIGHT("Kanchan - ARC", 5)</f>
        <v>- ARC</v>
      </c>
    </row>
    <row r="25" spans="7:19" x14ac:dyDescent="0.3">
      <c r="P25" t="s">
        <v>117</v>
      </c>
      <c r="S25" s="29">
        <v>0.5</v>
      </c>
    </row>
    <row r="26" spans="7:19" x14ac:dyDescent="0.3">
      <c r="G26" t="s">
        <v>98</v>
      </c>
      <c r="M26" t="str">
        <f>MID("Kanchan - ARC", 10, 3)</f>
        <v xml:space="preserve"> AR</v>
      </c>
    </row>
    <row r="28" spans="7:19" x14ac:dyDescent="0.3">
      <c r="G28" t="s">
        <v>99</v>
      </c>
      <c r="M28" t="str">
        <f>UPPER("Kanchan - M21")</f>
        <v>KANCHAN - M21</v>
      </c>
    </row>
    <row r="30" spans="7:19" x14ac:dyDescent="0.3">
      <c r="G30" t="s">
        <v>100</v>
      </c>
      <c r="M30" s="20" t="str">
        <f>LOWER("NY-Office")</f>
        <v>ny-office</v>
      </c>
    </row>
    <row r="32" spans="7:19" x14ac:dyDescent="0.3">
      <c r="G32" t="s">
        <v>101</v>
      </c>
    </row>
    <row r="34" spans="7:13" x14ac:dyDescent="0.3">
      <c r="G34" t="s">
        <v>102</v>
      </c>
    </row>
    <row r="36" spans="7:13" x14ac:dyDescent="0.3">
      <c r="G36" t="s">
        <v>103</v>
      </c>
      <c r="M36" s="19" t="str">
        <f>REPLACE(J16, 7, 9, "a")</f>
        <v>Kanchaa</v>
      </c>
    </row>
    <row r="38" spans="7:13" x14ac:dyDescent="0.3">
      <c r="M38" s="19" t="str">
        <f>REPLACE(J16, 5,8,"c")</f>
        <v>KanccC</v>
      </c>
    </row>
    <row r="40" spans="7:13" x14ac:dyDescent="0.3">
      <c r="G4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</vt:lpstr>
      <vt:lpstr>math baisc</vt:lpstr>
      <vt:lpstr>Math basic 2</vt:lpstr>
      <vt:lpstr>TExt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 SONKUSARE</dc:creator>
  <cp:lastModifiedBy>KANCHAN SONKUSARE</cp:lastModifiedBy>
  <dcterms:created xsi:type="dcterms:W3CDTF">2015-06-05T18:17:20Z</dcterms:created>
  <dcterms:modified xsi:type="dcterms:W3CDTF">2026-03-09T03:09:16Z</dcterms:modified>
</cp:coreProperties>
</file>