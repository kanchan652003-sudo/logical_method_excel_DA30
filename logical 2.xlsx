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68da900159cadfb/Documents/"/>
    </mc:Choice>
  </mc:AlternateContent>
  <xr:revisionPtr revIDLastSave="0" documentId="8_{89EA4DE9-409C-4AB8-8438-2A78983B00A6}" xr6:coauthVersionLast="47" xr6:coauthVersionMax="47" xr10:uidLastSave="{00000000-0000-0000-0000-000000000000}"/>
  <bookViews>
    <workbookView xWindow="-108" yWindow="-108" windowWidth="23256" windowHeight="12456" xr2:uid="{1E80711E-319D-444E-9820-D82B2BBFBF4B}"/>
  </bookViews>
  <sheets>
    <sheet name="logical2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1" l="1"/>
  <c r="N10" i="1"/>
  <c r="O10" i="1" s="1"/>
  <c r="Q9" i="1"/>
  <c r="P9" i="1"/>
  <c r="O9" i="1"/>
  <c r="N9" i="1"/>
  <c r="Q8" i="1"/>
  <c r="P8" i="1"/>
  <c r="N8" i="1"/>
  <c r="O8" i="1" s="1"/>
  <c r="Q7" i="1"/>
  <c r="P7" i="1"/>
  <c r="N7" i="1"/>
  <c r="O7" i="1" s="1"/>
  <c r="Q6" i="1"/>
  <c r="P6" i="1"/>
  <c r="O6" i="1"/>
  <c r="N6" i="1"/>
  <c r="T5" i="1"/>
  <c r="Q5" i="1"/>
  <c r="P5" i="1"/>
  <c r="N5" i="1"/>
  <c r="O5" i="1" s="1"/>
  <c r="J2" i="1"/>
  <c r="Q10" i="1" s="1"/>
</calcChain>
</file>

<file path=xl/sharedStrings.xml><?xml version="1.0" encoding="utf-8"?>
<sst xmlns="http://schemas.openxmlformats.org/spreadsheetml/2006/main" count="56" uniqueCount="45">
  <si>
    <t>budget</t>
  </si>
  <si>
    <t>my schedule I have meeting at 8:30 pm</t>
  </si>
  <si>
    <t>20+budget</t>
  </si>
  <si>
    <t>travel time is 30 min</t>
  </si>
  <si>
    <t>meet time</t>
  </si>
  <si>
    <t>t time</t>
  </si>
  <si>
    <t>seat_no</t>
  </si>
  <si>
    <t>customer_name</t>
  </si>
  <si>
    <t>baggage_weight</t>
  </si>
  <si>
    <t>seat_class</t>
  </si>
  <si>
    <t>ticket_no</t>
  </si>
  <si>
    <t>price</t>
  </si>
  <si>
    <t>from</t>
  </si>
  <si>
    <t>to</t>
  </si>
  <si>
    <t>time</t>
  </si>
  <si>
    <t>cmp</t>
  </si>
  <si>
    <t>diff</t>
  </si>
  <si>
    <t>op</t>
  </si>
  <si>
    <t>if else</t>
  </si>
  <si>
    <t>if else if</t>
  </si>
  <si>
    <t>cust1</t>
  </si>
  <si>
    <t>P</t>
  </si>
  <si>
    <t>T-101</t>
  </si>
  <si>
    <t>NAGPUR</t>
  </si>
  <si>
    <t>DEHLI</t>
  </si>
  <si>
    <t>Indigo</t>
  </si>
  <si>
    <t>cust2</t>
  </si>
  <si>
    <t>L</t>
  </si>
  <si>
    <t>T-102</t>
  </si>
  <si>
    <t>PUNE</t>
  </si>
  <si>
    <t>MUMBAI</t>
  </si>
  <si>
    <t>Air India</t>
  </si>
  <si>
    <t>ARC_cust</t>
  </si>
  <si>
    <t>E</t>
  </si>
  <si>
    <t>T-103</t>
  </si>
  <si>
    <t>DUBAI</t>
  </si>
  <si>
    <t>Qatar Airlines</t>
  </si>
  <si>
    <t>Vigo_cust</t>
  </si>
  <si>
    <t>T-104</t>
  </si>
  <si>
    <t>MUMABI</t>
  </si>
  <si>
    <t>arc2</t>
  </si>
  <si>
    <t>T-105</t>
  </si>
  <si>
    <t>HYDERABAD</t>
  </si>
  <si>
    <t>DB_user1</t>
  </si>
  <si>
    <t>T-106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</si>
</sst>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6B23-83AD-4DA9-8064-D2D2969527BE}">
  <dimension ref="D1:T13"/>
  <sheetViews>
    <sheetView tabSelected="1" topLeftCell="E1" workbookViewId="0">
      <selection activeCell="J13" sqref="J13"/>
    </sheetView>
  </sheetViews>
  <sheetFormatPr defaultRowHeight="14.4" x14ac:dyDescent="0.3"/>
  <cols>
    <col min="10" max="10" width="11.44140625" customWidth="1"/>
    <col min="11" max="11" width="11" customWidth="1"/>
    <col min="13" max="15" width="12.6640625" customWidth="1"/>
    <col min="16" max="16" width="16.6640625" customWidth="1"/>
    <col min="17" max="17" width="22" customWidth="1"/>
  </cols>
  <sheetData>
    <row r="1" spans="4:20" x14ac:dyDescent="0.3">
      <c r="I1" t="s">
        <v>0</v>
      </c>
      <c r="J1">
        <v>60</v>
      </c>
      <c r="L1" t="s">
        <v>1</v>
      </c>
    </row>
    <row r="2" spans="4:20" x14ac:dyDescent="0.3">
      <c r="I2" t="s">
        <v>2</v>
      </c>
      <c r="J2">
        <f>20+J1</f>
        <v>80</v>
      </c>
      <c r="M2" t="s">
        <v>3</v>
      </c>
    </row>
    <row r="3" spans="4:20" x14ac:dyDescent="0.3">
      <c r="M3" t="s">
        <v>4</v>
      </c>
      <c r="N3" s="1">
        <v>0.85416666666666663</v>
      </c>
      <c r="O3" s="1" t="s">
        <v>5</v>
      </c>
      <c r="P3" s="1">
        <v>2.0208333333333335</v>
      </c>
    </row>
    <row r="4" spans="4:20" x14ac:dyDescent="0.3"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3" t="s">
        <v>16</v>
      </c>
      <c r="O4" s="3" t="s">
        <v>17</v>
      </c>
      <c r="P4" s="3" t="s">
        <v>18</v>
      </c>
      <c r="Q4" s="3" t="s">
        <v>19</v>
      </c>
    </row>
    <row r="5" spans="4:20" x14ac:dyDescent="0.3">
      <c r="D5" s="4">
        <v>101</v>
      </c>
      <c r="E5" s="4" t="s">
        <v>20</v>
      </c>
      <c r="F5" s="4">
        <v>20</v>
      </c>
      <c r="G5" s="4" t="s">
        <v>21</v>
      </c>
      <c r="H5" s="4" t="s">
        <v>22</v>
      </c>
      <c r="I5" s="4">
        <v>60</v>
      </c>
      <c r="J5" s="4" t="s">
        <v>23</v>
      </c>
      <c r="K5" s="4" t="s">
        <v>24</v>
      </c>
      <c r="L5" s="5">
        <v>0.83333333333333337</v>
      </c>
      <c r="M5" s="4" t="s">
        <v>25</v>
      </c>
      <c r="N5" s="6">
        <f>N$3-L5</f>
        <v>2.0833333333333259E-2</v>
      </c>
      <c r="O5" t="str">
        <f>IF(N5&gt;P$3,"I can travel","I can't travel")</f>
        <v>I can't travel</v>
      </c>
      <c r="P5" t="str">
        <f>IF(J$1&gt;=I5,"budget is good","budget is low")</f>
        <v>budget is good</v>
      </c>
      <c r="Q5" t="str">
        <f>IF(J$1&gt;I5,"budget is good",IF(J$2&gt;I5,"increased budget is good","budget is low"))</f>
        <v>increased budget is good</v>
      </c>
      <c r="T5" t="b">
        <f>N6&gt;$P$3</f>
        <v>0</v>
      </c>
    </row>
    <row r="6" spans="4:20" x14ac:dyDescent="0.3">
      <c r="D6" s="4">
        <v>102</v>
      </c>
      <c r="E6" s="4" t="s">
        <v>26</v>
      </c>
      <c r="F6" s="4">
        <v>30</v>
      </c>
      <c r="G6" s="4" t="s">
        <v>27</v>
      </c>
      <c r="H6" s="4" t="s">
        <v>28</v>
      </c>
      <c r="I6" s="4">
        <v>50</v>
      </c>
      <c r="J6" s="4" t="s">
        <v>29</v>
      </c>
      <c r="K6" s="4" t="s">
        <v>30</v>
      </c>
      <c r="L6" s="5">
        <v>0.64583333333333337</v>
      </c>
      <c r="M6" s="4" t="s">
        <v>31</v>
      </c>
      <c r="N6" s="6">
        <f t="shared" ref="N6:N10" si="0">N$3-L6</f>
        <v>0.20833333333333326</v>
      </c>
      <c r="O6" t="str">
        <f>IF(N6&gt;P$3,"I can travel","I can't travel")</f>
        <v>I can't travel</v>
      </c>
      <c r="P6" t="str">
        <f t="shared" ref="P6:P10" si="1">IF(J$1&gt;=I6,"budget is good","budget is low")</f>
        <v>budget is good</v>
      </c>
      <c r="Q6" t="str">
        <f t="shared" ref="Q6:Q10" si="2">IF(J$1&gt;I6,"budget is good",IF(J$2&gt;I6,"increased budget is good","budget is low"))</f>
        <v>budget is good</v>
      </c>
    </row>
    <row r="7" spans="4:20" x14ac:dyDescent="0.3">
      <c r="D7" s="4">
        <v>103</v>
      </c>
      <c r="E7" s="4" t="s">
        <v>32</v>
      </c>
      <c r="F7" s="4">
        <v>40</v>
      </c>
      <c r="G7" s="4" t="s">
        <v>33</v>
      </c>
      <c r="H7" s="4" t="s">
        <v>34</v>
      </c>
      <c r="I7" s="4">
        <v>100</v>
      </c>
      <c r="J7" s="4" t="s">
        <v>23</v>
      </c>
      <c r="K7" s="4" t="s">
        <v>35</v>
      </c>
      <c r="L7" s="5">
        <v>0.34027777777777779</v>
      </c>
      <c r="M7" s="4" t="s">
        <v>36</v>
      </c>
      <c r="N7" s="6">
        <f t="shared" si="0"/>
        <v>0.51388888888888884</v>
      </c>
      <c r="O7" t="str">
        <f t="shared" ref="O7:O10" si="3">IF(N7&gt;P$3,"I can travel","I can't travel")</f>
        <v>I can't travel</v>
      </c>
      <c r="P7" t="str">
        <f t="shared" si="1"/>
        <v>budget is low</v>
      </c>
      <c r="Q7" t="str">
        <f t="shared" si="2"/>
        <v>budget is low</v>
      </c>
    </row>
    <row r="8" spans="4:20" x14ac:dyDescent="0.3">
      <c r="D8" s="4">
        <v>104</v>
      </c>
      <c r="E8" s="4" t="s">
        <v>37</v>
      </c>
      <c r="F8" s="4">
        <v>50</v>
      </c>
      <c r="G8" s="4" t="s">
        <v>27</v>
      </c>
      <c r="H8" s="4" t="s">
        <v>38</v>
      </c>
      <c r="I8" s="4">
        <v>120</v>
      </c>
      <c r="J8" s="4" t="s">
        <v>35</v>
      </c>
      <c r="K8" s="4" t="s">
        <v>39</v>
      </c>
      <c r="L8" s="5">
        <v>2.361111111111111E-2</v>
      </c>
      <c r="M8" s="4" t="s">
        <v>36</v>
      </c>
      <c r="N8" s="6">
        <f t="shared" si="0"/>
        <v>0.83055555555555549</v>
      </c>
      <c r="O8" t="str">
        <f t="shared" si="3"/>
        <v>I can't travel</v>
      </c>
      <c r="P8" t="str">
        <f t="shared" si="1"/>
        <v>budget is low</v>
      </c>
      <c r="Q8" t="str">
        <f t="shared" si="2"/>
        <v>budget is low</v>
      </c>
    </row>
    <row r="9" spans="4:20" x14ac:dyDescent="0.3">
      <c r="D9" s="4">
        <v>105</v>
      </c>
      <c r="E9" s="4" t="s">
        <v>40</v>
      </c>
      <c r="F9" s="4">
        <v>10</v>
      </c>
      <c r="G9" s="4" t="s">
        <v>33</v>
      </c>
      <c r="H9" s="4" t="s">
        <v>41</v>
      </c>
      <c r="I9" s="4">
        <v>30</v>
      </c>
      <c r="J9" s="4" t="s">
        <v>23</v>
      </c>
      <c r="K9" s="4" t="s">
        <v>42</v>
      </c>
      <c r="L9" s="5">
        <v>0.99652777777777779</v>
      </c>
      <c r="M9" s="4" t="s">
        <v>25</v>
      </c>
      <c r="N9" s="6">
        <f t="shared" si="0"/>
        <v>-0.14236111111111116</v>
      </c>
      <c r="O9" t="str">
        <f t="shared" si="3"/>
        <v>I can't travel</v>
      </c>
      <c r="P9" t="str">
        <f t="shared" si="1"/>
        <v>budget is good</v>
      </c>
      <c r="Q9" t="str">
        <f t="shared" si="2"/>
        <v>budget is good</v>
      </c>
    </row>
    <row r="10" spans="4:20" x14ac:dyDescent="0.3">
      <c r="D10" s="4">
        <v>106</v>
      </c>
      <c r="E10" s="4" t="s">
        <v>43</v>
      </c>
      <c r="F10" s="4">
        <v>30</v>
      </c>
      <c r="G10" s="4" t="s">
        <v>21</v>
      </c>
      <c r="H10" s="4" t="s">
        <v>44</v>
      </c>
      <c r="I10" s="4">
        <v>60</v>
      </c>
      <c r="J10" s="4" t="s">
        <v>42</v>
      </c>
      <c r="K10" s="4" t="s">
        <v>30</v>
      </c>
      <c r="L10" s="5">
        <v>0.50347222222222221</v>
      </c>
      <c r="M10" s="4" t="s">
        <v>31</v>
      </c>
      <c r="N10" s="6">
        <f t="shared" si="0"/>
        <v>0.35069444444444442</v>
      </c>
      <c r="O10" t="str">
        <f t="shared" si="3"/>
        <v>I can't travel</v>
      </c>
      <c r="P10" t="str">
        <f t="shared" si="1"/>
        <v>budget is good</v>
      </c>
      <c r="Q10" t="str">
        <f t="shared" si="2"/>
        <v>increased budget is good</v>
      </c>
    </row>
    <row r="13" spans="4:20" x14ac:dyDescent="0.3">
      <c r="M13" s="7"/>
      <c r="N13" s="7"/>
      <c r="O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 SONKUSARE</dc:creator>
  <cp:lastModifiedBy>KANCHAN SONKUSARE</cp:lastModifiedBy>
  <dcterms:created xsi:type="dcterms:W3CDTF">2026-03-17T06:54:22Z</dcterms:created>
  <dcterms:modified xsi:type="dcterms:W3CDTF">2026-03-17T06:56:23Z</dcterms:modified>
</cp:coreProperties>
</file>